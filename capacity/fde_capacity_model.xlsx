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PU Sizing" sheetId="1" state="visible" r:id="rId3"/>
    <sheet name="RAG Cost per 1K" sheetId="2" state="visible" r:id="rId4"/>
    <sheet name="Voice Latency" sheetId="3" state="visible" r:id="rId5"/>
    <sheet name="Self-host Breakeven" sheetId="4" state="visible" r:id="rId6"/>
    <sheet name="Business Valu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<sst xmlns="http://schemas.openxmlformats.org/spreadsheetml/2006/main" count="262" uniqueCount="206">
  <si>
    <t xml:space="preserve">Worked Model 1 — GPU sizing for a self-hosted LLM</t>
  </si>
  <si>
    <t xml:space="preserve">Yellow cells are inputs. Everything else is a formula. Change an input and the sheet moves.</t>
  </si>
  <si>
    <t xml:space="preserve">DEMAND</t>
  </si>
  <si>
    <t xml:space="preserve">Peak concurrent users</t>
  </si>
  <si>
    <t xml:space="preserve">users</t>
  </si>
  <si>
    <t xml:space="preserve">Peak, not average. Size for the busy hour.</t>
  </si>
  <si>
    <t xml:space="preserve">Requests per user per busy hour</t>
  </si>
  <si>
    <t xml:space="preserve">req/hr</t>
  </si>
  <si>
    <t xml:space="preserve">From the observed workflow, not from hope.</t>
  </si>
  <si>
    <t xml:space="preserve">Peak requests per second</t>
  </si>
  <si>
    <t xml:space="preserve">RPS</t>
  </si>
  <si>
    <t xml:space="preserve">Demand converted to a rate.</t>
  </si>
  <si>
    <t xml:space="preserve">Output tokens per response (mean)</t>
  </si>
  <si>
    <t xml:space="preserve">tok</t>
  </si>
  <si>
    <t xml:space="preserve">Measure this. Do not assume it.</t>
  </si>
  <si>
    <t xml:space="preserve">Input tokens per request (mean)</t>
  </si>
  <si>
    <t xml:space="preserve">RAG context dominates input length.</t>
  </si>
  <si>
    <t xml:space="preserve">Peak output tokens per second</t>
  </si>
  <si>
    <t xml:space="preserve">tok/s</t>
  </si>
  <si>
    <t xml:space="preserve">The number that sizes the fleet.</t>
  </si>
  <si>
    <t xml:space="preserve">HARDWARE THROUGHPUT</t>
  </si>
  <si>
    <t xml:space="preserve">Decode throughput per GPU (batched)</t>
  </si>
  <si>
    <t xml:space="preserve">Benchmark YOUR model on YOUR GPU. Vendor figures are a ceiling.</t>
  </si>
  <si>
    <t xml:space="preserve">Target utilisation ceiling</t>
  </si>
  <si>
    <t xml:space="preserve">Above ~70% queueing delay dominates tail latency.</t>
  </si>
  <si>
    <t xml:space="preserve">Effective throughput per GPU</t>
  </si>
  <si>
    <t xml:space="preserve">GPUs needed for decode</t>
  </si>
  <si>
    <t xml:space="preserve">GPU</t>
  </si>
  <si>
    <t xml:space="preserve">KV CACHE MEMORY CHECK</t>
  </si>
  <si>
    <t xml:space="preserve">Model hidden dim (d)</t>
  </si>
  <si>
    <t xml:space="preserve">Llama-70B class.</t>
  </si>
  <si>
    <t xml:space="preserve">Layers</t>
  </si>
  <si>
    <t xml:space="preserve">Attention heads</t>
  </si>
  <si>
    <t xml:space="preserve">KV heads (GQA)</t>
  </si>
  <si>
    <t xml:space="preserve">Set equal to attention heads for old MHA models. Getting this wrong overstates KV memory 8x.</t>
  </si>
  <si>
    <t xml:space="preserve">Bytes per element (fp16=2, fp8=1)</t>
  </si>
  <si>
    <t xml:space="preserve">B</t>
  </si>
  <si>
    <t xml:space="preserve">Quantising the KV cache is the cheapest capacity win available.</t>
  </si>
  <si>
    <t xml:space="preserve">Max context length</t>
  </si>
  <si>
    <t xml:space="preserve">KV dimension per layer</t>
  </si>
  <si>
    <t xml:space="preserve">GQA shrinks this by the head ratio.</t>
  </si>
  <si>
    <t xml:space="preserve">KV bytes per token</t>
  </si>
  <si>
    <t xml:space="preserve">B/tok</t>
  </si>
  <si>
    <t xml:space="preserve">2 (K and V) x layers x KV dim x bytes.</t>
  </si>
  <si>
    <t xml:space="preserve">KV bytes per full-context sequence</t>
  </si>
  <si>
    <t xml:space="preserve">GB per full-context sequence</t>
  </si>
  <si>
    <t xml:space="preserve">GB</t>
  </si>
  <si>
    <t xml:space="preserve">Expected in-flight requests</t>
  </si>
  <si>
    <t xml:space="preserve">req</t>
  </si>
  <si>
    <t xml:space="preserve">Little's Law: arrival rate x ~3s mean service time.</t>
  </si>
  <si>
    <t xml:space="preserve">GPU memory</t>
  </si>
  <si>
    <t xml:space="preserve">H100 80GB.</t>
  </si>
  <si>
    <t xml:space="preserve">Memory taken by weights</t>
  </si>
  <si>
    <t xml:space="preserve">70B at fp16 — spans two GPUs before any KV cache exists.</t>
  </si>
  <si>
    <t xml:space="preserve">GPUs to hold weights (tensor parallel)</t>
  </si>
  <si>
    <t xml:space="preserve">Free memory for KV across those GPUs</t>
  </si>
  <si>
    <t xml:space="preserve">Concurrent full-context sequences supported</t>
  </si>
  <si>
    <t xml:space="preserve">seq</t>
  </si>
  <si>
    <t xml:space="preserve">Compare against expected in-flight requests above.</t>
  </si>
  <si>
    <t xml:space="preserve">KV headroom check</t>
  </si>
  <si>
    <t xml:space="preserve">When this trips, KV cache is your real limit — not FLOPs. Most teams discover it in production.</t>
  </si>
  <si>
    <t xml:space="preserve">RESULT</t>
  </si>
  <si>
    <t xml:space="preserve">GPUs required (max of compute and memory paths)</t>
  </si>
  <si>
    <t xml:space="preserve">Replicas for HA (N+1)</t>
  </si>
  <si>
    <t xml:space="preserve">Never size a customer deployment at N.</t>
  </si>
  <si>
    <t xml:space="preserve">GPU $/hour (on-demand)</t>
  </si>
  <si>
    <t xml:space="preserve">$/hr</t>
  </si>
  <si>
    <t xml:space="preserve">Committed-use pricing cuts this materially.</t>
  </si>
  <si>
    <t xml:space="preserve">Monthly GPU cost</t>
  </si>
  <si>
    <t xml:space="preserve">$</t>
  </si>
  <si>
    <t xml:space="preserve">730 hours in an average month.</t>
  </si>
  <si>
    <t xml:space="preserve">Assumption: decode-bound. If input tokens greatly exceed output tokens, model prefill separately —</t>
  </si>
  <si>
    <t xml:space="preserve">prefill is compute-bound and can dominate time-to-first-token even when decode capacity is fine.</t>
  </si>
  <si>
    <t xml:space="preserve">Worked Model 2 — Cost per 1,000 RAG queries</t>
  </si>
  <si>
    <t xml:space="preserve">The number customers actually ask for. Itemised so you can defend every line of it.</t>
  </si>
  <si>
    <t xml:space="preserve">PER-QUERY SHAPE</t>
  </si>
  <si>
    <t xml:space="preserve">Input tokens (system + context + question)</t>
  </si>
  <si>
    <t xml:space="preserve">Output tokens</t>
  </si>
  <si>
    <t xml:space="preserve">Query embedding tokens</t>
  </si>
  <si>
    <t xml:space="preserve">Rerank candidates per query</t>
  </si>
  <si>
    <t xml:space="preserve">doc</t>
  </si>
  <si>
    <t xml:space="preserve">Top-25 into the cross-encoder, top-5 into context.</t>
  </si>
  <si>
    <t xml:space="preserve">UNIT PRICES — re-validate against vendor pricing pages before quoting</t>
  </si>
  <si>
    <t xml:space="preserve">Generation input $/M tokens</t>
  </si>
  <si>
    <t xml:space="preserve">$/M</t>
  </si>
  <si>
    <t xml:space="preserve">Mid-tier band. See the cost-band cheat sheet.</t>
  </si>
  <si>
    <t xml:space="preserve">Generation output $/M tokens</t>
  </si>
  <si>
    <t xml:space="preserve">Embedding $/M tokens</t>
  </si>
  <si>
    <t xml:space="preserve">Rerank $/1K calls</t>
  </si>
  <si>
    <t xml:space="preserve">$/1K</t>
  </si>
  <si>
    <t xml:space="preserve">Priced per search call (up to ~100 docs), not per document.</t>
  </si>
  <si>
    <t xml:space="preserve">Vector DB $/month</t>
  </si>
  <si>
    <t xml:space="preserve">Amortised across monthly volume below.</t>
  </si>
  <si>
    <t xml:space="preserve">Queries per month</t>
  </si>
  <si>
    <t xml:space="preserve">q</t>
  </si>
  <si>
    <t xml:space="preserve">COST PER 1,000 QUERIES — NO CACHING</t>
  </si>
  <si>
    <t xml:space="preserve">Generation input</t>
  </si>
  <si>
    <t xml:space="preserve">Generation output</t>
  </si>
  <si>
    <t xml:space="preserve">Query embedding</t>
  </si>
  <si>
    <t xml:space="preserve">Reranking</t>
  </si>
  <si>
    <t xml:space="preserve">One call per query, so $/1K calls is already the per-1K cost.</t>
  </si>
  <si>
    <t xml:space="preserve">Vector DB (amortised)</t>
  </si>
  <si>
    <t xml:space="preserve">Subtotal</t>
  </si>
  <si>
    <t xml:space="preserve">CACHE SENSITIVITY</t>
  </si>
  <si>
    <t xml:space="preserve">Prompt-cache hit rate</t>
  </si>
  <si>
    <t xml:space="preserve">Stable system prompt plus stable retrieved chunks.</t>
  </si>
  <si>
    <t xml:space="preserve">Cached-input discount</t>
  </si>
  <si>
    <t xml:space="preserve">Typical provider discount on a cached prefix.</t>
  </si>
  <si>
    <t xml:space="preserve">Semantic output-cache hit rate</t>
  </si>
  <si>
    <t xml:space="preserve">High in support, near zero in research work.</t>
  </si>
  <si>
    <t xml:space="preserve">Effective cost per 1,000 queries</t>
  </si>
  <si>
    <t xml:space="preserve">Cost per single query</t>
  </si>
  <si>
    <t xml:space="preserve">Monthly run rate at stated volume</t>
  </si>
  <si>
    <t xml:space="preserve">Saving from caching</t>
  </si>
  <si>
    <t xml:space="preserve">Caching is the highest-return line in this model.</t>
  </si>
  <si>
    <t xml:space="preserve">Worked Model 3 — The sub-800ms voice budget</t>
  </si>
  <si>
    <t xml:space="preserve">A latency target you cannot decompose is a wish. This is the decomposition.</t>
  </si>
  <si>
    <t xml:space="preserve">BUDGET LINES (p95, milliseconds)</t>
  </si>
  <si>
    <t xml:space="preserve">Network in (client to edge)</t>
  </si>
  <si>
    <t xml:space="preserve">ms</t>
  </si>
  <si>
    <t xml:space="preserve">Endpointing / silence detection</t>
  </si>
  <si>
    <t xml:space="preserve">The biggest lever, and the one teams forget.</t>
  </si>
  <si>
    <t xml:space="preserve">Streaming ASR finalisation</t>
  </si>
  <si>
    <t xml:space="preserve">Partials arrive earlier; this is the final commit.</t>
  </si>
  <si>
    <t xml:space="preserve">Retrieval (if grounded)</t>
  </si>
  <si>
    <t xml:space="preserve">Cache aggressively or take it off the hot path.</t>
  </si>
  <si>
    <t xml:space="preserve">LLM time to first token</t>
  </si>
  <si>
    <t xml:space="preserve">Small model by default; escalate only on low confidence.</t>
  </si>
  <si>
    <t xml:space="preserve">TTS time to first audio</t>
  </si>
  <si>
    <t xml:space="preserve">Streaming TTS. Non-streaming blows the budget on its own.</t>
  </si>
  <si>
    <t xml:space="preserve">Network out (edge to client)</t>
  </si>
  <si>
    <t xml:space="preserve">Jitter buffer</t>
  </si>
  <si>
    <t xml:space="preserve">Total perceived latency</t>
  </si>
  <si>
    <t xml:space="preserve">Target</t>
  </si>
  <si>
    <t xml:space="preserve">Past ~800ms callers begin talking over the agent.</t>
  </si>
  <si>
    <t xml:space="preserve">Headroom</t>
  </si>
  <si>
    <t xml:space="preserve">Negative means redesign, not tuning.</t>
  </si>
  <si>
    <t xml:space="preserve">Verdict</t>
  </si>
  <si>
    <t xml:space="preserve">Levers, in order of payoff:</t>
  </si>
  <si>
    <t xml:space="preserve">1. Tune the VAD. Often 80–120ms back for no quality loss.</t>
  </si>
  <si>
    <t xml:space="preserve">2. Start TTS on the first sentence, not the finished response.</t>
  </si>
  <si>
    <t xml:space="preserve">3. Pre-fetch retrieval on the partial transcript, off the hot path.</t>
  </si>
  <si>
    <t xml:space="preserve">4. Route to a small model by default; escalate mid-turn only when confidence is low.</t>
  </si>
  <si>
    <t xml:space="preserve">5. Co-locate ASR, LLM and TTS in one region. Cross-region alone can cost 100ms+.</t>
  </si>
  <si>
    <t xml:space="preserve">Worked Model 4 — Self-hosting vs API break-even</t>
  </si>
  <si>
    <t xml:space="preserve">The answer is rarely "self-hosting is cheaper". It is "cheaper above X tokens/month", and X is large.</t>
  </si>
  <si>
    <t xml:space="preserve">API PATH</t>
  </si>
  <si>
    <t xml:space="preserve">Blended API $/M tokens</t>
  </si>
  <si>
    <t xml:space="preserve">Weighted across input and output.</t>
  </si>
  <si>
    <t xml:space="preserve">Monthly tokens (millions)</t>
  </si>
  <si>
    <t xml:space="preserve">M</t>
  </si>
  <si>
    <t xml:space="preserve">Monthly API cost</t>
  </si>
  <si>
    <t xml:space="preserve">SELF-HOST PATH</t>
  </si>
  <si>
    <t xml:space="preserve">GPUs required</t>
  </si>
  <si>
    <t xml:space="preserve">Carry this across from the GPU Sizing sheet.</t>
  </si>
  <si>
    <t xml:space="preserve">GPU $/hour (committed)</t>
  </si>
  <si>
    <t xml:space="preserve">Committed-use pricing, not on-demand.</t>
  </si>
  <si>
    <t xml:space="preserve">Engineer FTE on the serving stack</t>
  </si>
  <si>
    <t xml:space="preserve">FTE</t>
  </si>
  <si>
    <t xml:space="preserve">The line everyone omits. vLLM does not operate itself.</t>
  </si>
  <si>
    <t xml:space="preserve">Fully-loaded engineer $/year</t>
  </si>
  <si>
    <t xml:space="preserve">Monthly people cost</t>
  </si>
  <si>
    <t xml:space="preserve">Monthly self-host total</t>
  </si>
  <si>
    <t xml:space="preserve">DECISION</t>
  </si>
  <si>
    <t xml:space="preserve">Monthly saving from self-hosting</t>
  </si>
  <si>
    <t xml:space="preserve">Negative means the API is cheaper.</t>
  </si>
  <si>
    <t xml:space="preserve">Break-even volume (M tokens/month)</t>
  </si>
  <si>
    <t xml:space="preserve">Below this, self-hosting loses on pure cost.</t>
  </si>
  <si>
    <t xml:space="preserve">Verdict on cost alone</t>
  </si>
  <si>
    <t xml:space="preserve">Cost is one axis and usually not the deciding one. Data residency, weight control, and</t>
  </si>
  <si>
    <t xml:space="preserve">air-gap requirements decide most real self-hosting conversations before price is discussed.</t>
  </si>
  <si>
    <t xml:space="preserve">Worked Model 5 — Tokens to dollars to hours saved</t>
  </si>
  <si>
    <t xml:space="preserve">The conversion that wins the executive readout. Run it before the pilot, not after.</t>
  </si>
  <si>
    <t xml:space="preserve">BASELINE — measure it, do not assume it</t>
  </si>
  <si>
    <t xml:space="preserve">Users in scope</t>
  </si>
  <si>
    <t xml:space="preserve">people</t>
  </si>
  <si>
    <t xml:space="preserve">Task instances per user per day</t>
  </si>
  <si>
    <t xml:space="preserve">Minutes per task, before</t>
  </si>
  <si>
    <t xml:space="preserve">min</t>
  </si>
  <si>
    <t xml:space="preserve">From a timed audit, not from a survey.</t>
  </si>
  <si>
    <t xml:space="preserve">Fully-loaded cost per user-hour</t>
  </si>
  <si>
    <t xml:space="preserve">Working days per month</t>
  </si>
  <si>
    <t xml:space="preserve">d</t>
  </si>
  <si>
    <t xml:space="preserve">AFTER</t>
  </si>
  <si>
    <t xml:space="preserve">Minutes per task, after</t>
  </si>
  <si>
    <t xml:space="preserve">Same timed audit, post-pilot.</t>
  </si>
  <si>
    <t xml:space="preserve">Adoption rate</t>
  </si>
  <si>
    <t xml:space="preserve">The number that actually determines ROI. Most models quietly set it to 100%.</t>
  </si>
  <si>
    <t xml:space="preserve">Minutes saved per task</t>
  </si>
  <si>
    <t xml:space="preserve">Hours saved per month</t>
  </si>
  <si>
    <t xml:space="preserve">hr</t>
  </si>
  <si>
    <t xml:space="preserve">Gross monthly value (time-equivalent)</t>
  </si>
  <si>
    <t xml:space="preserve">What a naive model stops at.</t>
  </si>
  <si>
    <t xml:space="preserve">Realisation rate</t>
  </si>
  <si>
    <t xml:space="preserve">Fraction of saved time that becomes real capacity or cost reduction. 20-40% is honest; 100% is vendor math.</t>
  </si>
  <si>
    <t xml:space="preserve">Realised monthly value</t>
  </si>
  <si>
    <t xml:space="preserve">The number a CFO will accept.</t>
  </si>
  <si>
    <t xml:space="preserve">Monthly run cost</t>
  </si>
  <si>
    <t xml:space="preserve">Carry across from the RAG Cost sheet.</t>
  </si>
  <si>
    <t xml:space="preserve">Net monthly value</t>
  </si>
  <si>
    <t xml:space="preserve">One-off build cost</t>
  </si>
  <si>
    <t xml:space="preserve">Payback period</t>
  </si>
  <si>
    <t xml:space="preserve">months</t>
  </si>
  <si>
    <t xml:space="preserve">Two multipliers decide this model: adoption and realisation. Halve either and payback doubles.</t>
  </si>
  <si>
    <t xml:space="preserve">Neither is a modelling detail — they are the whole argument. Model quality barely moves this sheet,</t>
  </si>
  <si>
    <t xml:space="preserve">which is why adoption is the metric an FDE defends in the quarterly review.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</si>
</sst>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0"/>
    <numFmt numFmtId="167" formatCode="0%"/>
    <numFmt numFmtId="168" formatCode="0"/>
    <numFmt numFmtId="169" formatCode="0.0"/>
    <numFmt numFmtId="170" formatCode="\$#,##0.00"/>
    <numFmt numFmtId="171" formatCode="\$#,##0"/>
    <numFmt numFmtId="172" formatCode="\$#,##0.0000"/>
    <numFmt numFmtId="173" formatCode="\$#,##0.000000"/>
    <numFmt numFmtId="174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B4DA2"/>
      <name val="Arial"/>
      <family val="0"/>
      <charset val="1"/>
    </font>
    <font>
      <i val="true"/>
      <sz val="9"/>
      <color rgb="FF5B67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B677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4DA2"/>
        <bgColor rgb="FF003366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EE7"/>
      </left>
      <right style="thin">
        <color rgb="FFD7DEE7"/>
      </right>
      <top style="thin">
        <color rgb="FFD7DEE7"/>
      </top>
      <bottom style="thin">
        <color rgb="FFD7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B4DA2"/>
      <rgbColor rgb="FFD7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7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6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n">
        <v>500</v>
      </c>
      <c r="C5" s="6" t="s">
        <v>4</v>
      </c>
      <c r="D5" s="2" t="s">
        <v>5</v>
      </c>
    </row>
    <row r="6" customFormat="false" ht="15" hidden="false" customHeight="false" outlineLevel="0" collapsed="false">
      <c r="A6" s="4" t="s">
        <v>6</v>
      </c>
      <c r="B6" s="5" t="n">
        <v>12</v>
      </c>
      <c r="C6" s="6" t="s">
        <v>7</v>
      </c>
      <c r="D6" s="2" t="s">
        <v>8</v>
      </c>
    </row>
    <row r="7" customFormat="false" ht="15" hidden="false" customHeight="false" outlineLevel="0" collapsed="false">
      <c r="A7" s="4" t="s">
        <v>9</v>
      </c>
      <c r="B7" s="7" t="n">
        <f aca="false">B5*B6/3600</f>
        <v>1.66666666666667</v>
      </c>
      <c r="C7" s="6" t="s">
        <v>10</v>
      </c>
      <c r="D7" s="2" t="s">
        <v>11</v>
      </c>
    </row>
    <row r="8" customFormat="false" ht="15" hidden="false" customHeight="false" outlineLevel="0" collapsed="false">
      <c r="A8" s="4" t="s">
        <v>12</v>
      </c>
      <c r="B8" s="5" t="n">
        <v>350</v>
      </c>
      <c r="C8" s="6" t="s">
        <v>13</v>
      </c>
      <c r="D8" s="2" t="s">
        <v>14</v>
      </c>
    </row>
    <row r="9" customFormat="false" ht="15" hidden="false" customHeight="false" outlineLevel="0" collapsed="false">
      <c r="A9" s="4" t="s">
        <v>15</v>
      </c>
      <c r="B9" s="5" t="n">
        <v>2400</v>
      </c>
      <c r="C9" s="6" t="s">
        <v>13</v>
      </c>
      <c r="D9" s="2" t="s">
        <v>16</v>
      </c>
    </row>
    <row r="10" customFormat="false" ht="15" hidden="false" customHeight="false" outlineLevel="0" collapsed="false">
      <c r="A10" s="4" t="s">
        <v>17</v>
      </c>
      <c r="B10" s="8" t="n">
        <f aca="false">B7*B8</f>
        <v>583.333333333333</v>
      </c>
      <c r="C10" s="6" t="s">
        <v>18</v>
      </c>
      <c r="D10" s="2" t="s">
        <v>19</v>
      </c>
    </row>
    <row r="12" customFormat="false" ht="15" hidden="false" customHeight="false" outlineLevel="0" collapsed="false">
      <c r="A12" s="3" t="s">
        <v>20</v>
      </c>
      <c r="B12" s="3"/>
      <c r="C12" s="3"/>
      <c r="D12" s="3"/>
    </row>
    <row r="13" customFormat="false" ht="15" hidden="false" customHeight="false" outlineLevel="0" collapsed="false">
      <c r="A13" s="4" t="s">
        <v>21</v>
      </c>
      <c r="B13" s="5" t="n">
        <v>2200</v>
      </c>
      <c r="C13" s="6" t="s">
        <v>18</v>
      </c>
      <c r="D13" s="2" t="s">
        <v>22</v>
      </c>
    </row>
    <row r="14" customFormat="false" ht="15" hidden="false" customHeight="false" outlineLevel="0" collapsed="false">
      <c r="A14" s="4" t="s">
        <v>23</v>
      </c>
      <c r="B14" s="9" t="n">
        <v>0.7</v>
      </c>
      <c r="C14" s="6"/>
      <c r="D14" s="2" t="s">
        <v>24</v>
      </c>
    </row>
    <row r="15" customFormat="false" ht="15" hidden="false" customHeight="false" outlineLevel="0" collapsed="false">
      <c r="A15" s="4" t="s">
        <v>25</v>
      </c>
      <c r="B15" s="8" t="n">
        <f aca="false">B13*B14</f>
        <v>1540</v>
      </c>
      <c r="C15" s="6" t="s">
        <v>18</v>
      </c>
      <c r="D15" s="2"/>
    </row>
    <row r="16" customFormat="false" ht="15" hidden="false" customHeight="false" outlineLevel="0" collapsed="false">
      <c r="A16" s="4" t="s">
        <v>26</v>
      </c>
      <c r="B16" s="10" t="n">
        <f aca="false">CEILING(B10/B15,1)</f>
        <v>1</v>
      </c>
      <c r="C16" s="6" t="s">
        <v>27</v>
      </c>
      <c r="D16" s="2"/>
    </row>
    <row r="18" customFormat="false" ht="15" hidden="false" customHeight="false" outlineLevel="0" collapsed="false">
      <c r="A18" s="3" t="s">
        <v>28</v>
      </c>
      <c r="B18" s="3"/>
      <c r="C18" s="3"/>
      <c r="D18" s="3"/>
    </row>
    <row r="19" customFormat="false" ht="15" hidden="false" customHeight="false" outlineLevel="0" collapsed="false">
      <c r="A19" s="4" t="s">
        <v>29</v>
      </c>
      <c r="B19" s="5" t="n">
        <v>8192</v>
      </c>
      <c r="C19" s="6"/>
      <c r="D19" s="2" t="s">
        <v>30</v>
      </c>
    </row>
    <row r="20" customFormat="false" ht="15" hidden="false" customHeight="false" outlineLevel="0" collapsed="false">
      <c r="A20" s="4" t="s">
        <v>31</v>
      </c>
      <c r="B20" s="5" t="n">
        <v>80</v>
      </c>
      <c r="C20" s="6"/>
      <c r="D20" s="2"/>
    </row>
    <row r="21" customFormat="false" ht="15" hidden="false" customHeight="false" outlineLevel="0" collapsed="false">
      <c r="A21" s="4" t="s">
        <v>32</v>
      </c>
      <c r="B21" s="5" t="n">
        <v>64</v>
      </c>
      <c r="C21" s="6"/>
      <c r="D21" s="2"/>
    </row>
    <row r="22" customFormat="false" ht="15" hidden="false" customHeight="false" outlineLevel="0" collapsed="false">
      <c r="A22" s="4" t="s">
        <v>33</v>
      </c>
      <c r="B22" s="5" t="n">
        <v>8</v>
      </c>
      <c r="C22" s="6"/>
      <c r="D22" s="2" t="s">
        <v>34</v>
      </c>
    </row>
    <row r="23" customFormat="false" ht="15" hidden="false" customHeight="false" outlineLevel="0" collapsed="false">
      <c r="A23" s="4" t="s">
        <v>35</v>
      </c>
      <c r="B23" s="11" t="n">
        <v>2</v>
      </c>
      <c r="C23" s="6" t="s">
        <v>36</v>
      </c>
      <c r="D23" s="2" t="s">
        <v>37</v>
      </c>
    </row>
    <row r="24" customFormat="false" ht="15" hidden="false" customHeight="false" outlineLevel="0" collapsed="false">
      <c r="A24" s="4" t="s">
        <v>38</v>
      </c>
      <c r="B24" s="5" t="n">
        <v>8000</v>
      </c>
      <c r="C24" s="6" t="s">
        <v>13</v>
      </c>
      <c r="D24" s="2"/>
    </row>
    <row r="25" customFormat="false" ht="15" hidden="false" customHeight="false" outlineLevel="0" collapsed="false">
      <c r="A25" s="4" t="s">
        <v>39</v>
      </c>
      <c r="B25" s="8" t="n">
        <f aca="false">B19*B22/B21</f>
        <v>1024</v>
      </c>
      <c r="C25" s="6"/>
      <c r="D25" s="2" t="s">
        <v>40</v>
      </c>
    </row>
    <row r="26" customFormat="false" ht="15" hidden="false" customHeight="false" outlineLevel="0" collapsed="false">
      <c r="A26" s="4" t="s">
        <v>41</v>
      </c>
      <c r="B26" s="8" t="n">
        <f aca="false">2*B20*B25*B23</f>
        <v>327680</v>
      </c>
      <c r="C26" s="6" t="s">
        <v>42</v>
      </c>
      <c r="D26" s="2" t="s">
        <v>43</v>
      </c>
    </row>
    <row r="27" customFormat="false" ht="15" hidden="false" customHeight="false" outlineLevel="0" collapsed="false">
      <c r="A27" s="4" t="s">
        <v>44</v>
      </c>
      <c r="B27" s="8" t="n">
        <f aca="false">B26*B24</f>
        <v>2621440000</v>
      </c>
      <c r="C27" s="6" t="s">
        <v>36</v>
      </c>
      <c r="D27" s="2"/>
    </row>
    <row r="28" customFormat="false" ht="15" hidden="false" customHeight="false" outlineLevel="0" collapsed="false">
      <c r="A28" s="4" t="s">
        <v>45</v>
      </c>
      <c r="B28" s="7" t="n">
        <f aca="false">B27/1024^3</f>
        <v>2.44140625</v>
      </c>
      <c r="C28" s="6" t="s">
        <v>46</v>
      </c>
      <c r="D28" s="2"/>
    </row>
    <row r="29" customFormat="false" ht="15" hidden="false" customHeight="false" outlineLevel="0" collapsed="false">
      <c r="A29" s="4" t="s">
        <v>47</v>
      </c>
      <c r="B29" s="12" t="n">
        <f aca="false">B7*3</f>
        <v>5</v>
      </c>
      <c r="C29" s="6" t="s">
        <v>48</v>
      </c>
      <c r="D29" s="2" t="s">
        <v>49</v>
      </c>
    </row>
    <row r="30" customFormat="false" ht="15" hidden="false" customHeight="false" outlineLevel="0" collapsed="false">
      <c r="A30" s="4" t="s">
        <v>50</v>
      </c>
      <c r="B30" s="5" t="n">
        <v>80</v>
      </c>
      <c r="C30" s="6" t="s">
        <v>46</v>
      </c>
      <c r="D30" s="2" t="s">
        <v>51</v>
      </c>
    </row>
    <row r="31" customFormat="false" ht="15" hidden="false" customHeight="false" outlineLevel="0" collapsed="false">
      <c r="A31" s="4" t="s">
        <v>52</v>
      </c>
      <c r="B31" s="5" t="n">
        <v>140</v>
      </c>
      <c r="C31" s="6" t="s">
        <v>46</v>
      </c>
      <c r="D31" s="2" t="s">
        <v>53</v>
      </c>
    </row>
    <row r="32" customFormat="false" ht="15" hidden="false" customHeight="false" outlineLevel="0" collapsed="false">
      <c r="A32" s="4" t="s">
        <v>54</v>
      </c>
      <c r="B32" s="10" t="n">
        <f aca="false">CEILING(B31/B30,1)</f>
        <v>2</v>
      </c>
      <c r="C32" s="6" t="s">
        <v>27</v>
      </c>
      <c r="D32" s="2"/>
    </row>
    <row r="33" customFormat="false" ht="15" hidden="false" customHeight="false" outlineLevel="0" collapsed="false">
      <c r="A33" s="4" t="s">
        <v>55</v>
      </c>
      <c r="B33" s="12" t="n">
        <f aca="false">B32*B30-B31</f>
        <v>20</v>
      </c>
      <c r="C33" s="6" t="s">
        <v>46</v>
      </c>
      <c r="D33" s="2"/>
    </row>
    <row r="34" customFormat="false" ht="15" hidden="false" customHeight="false" outlineLevel="0" collapsed="false">
      <c r="A34" s="4" t="s">
        <v>56</v>
      </c>
      <c r="B34" s="10" t="n">
        <f aca="false">IF(B28=0,0,FLOOR(B33/B28,1))</f>
        <v>8</v>
      </c>
      <c r="C34" s="6" t="s">
        <v>57</v>
      </c>
      <c r="D34" s="2" t="s">
        <v>58</v>
      </c>
    </row>
    <row r="35" customFormat="false" ht="15" hidden="false" customHeight="false" outlineLevel="0" collapsed="false">
      <c r="A35" s="4" t="s">
        <v>59</v>
      </c>
      <c r="B35" s="13" t="str">
        <f aca="false">IF(B34&gt;=B29,"OK — compute-bound","KV-BOUND: add GPUs, shorten context, or quantise the cache")</f>
        <v>OK — compute-bound</v>
      </c>
      <c r="C35" s="6"/>
      <c r="D35" s="2" t="s">
        <v>60</v>
      </c>
    </row>
    <row r="37" customFormat="false" ht="15" hidden="false" customHeight="false" outlineLevel="0" collapsed="false">
      <c r="A37" s="3" t="s">
        <v>61</v>
      </c>
      <c r="B37" s="3"/>
      <c r="C37" s="3"/>
      <c r="D37" s="3"/>
    </row>
    <row r="38" customFormat="false" ht="15" hidden="false" customHeight="false" outlineLevel="0" collapsed="false">
      <c r="A38" s="4" t="s">
        <v>62</v>
      </c>
      <c r="B38" s="10" t="n">
        <f aca="false">MAX(B16,B32)</f>
        <v>2</v>
      </c>
      <c r="C38" s="6" t="s">
        <v>27</v>
      </c>
      <c r="D38" s="2"/>
    </row>
    <row r="39" customFormat="false" ht="15" hidden="false" customHeight="false" outlineLevel="0" collapsed="false">
      <c r="A39" s="4" t="s">
        <v>63</v>
      </c>
      <c r="B39" s="10" t="n">
        <f aca="false">B38+1</f>
        <v>3</v>
      </c>
      <c r="C39" s="6" t="s">
        <v>27</v>
      </c>
      <c r="D39" s="2" t="s">
        <v>64</v>
      </c>
    </row>
    <row r="40" customFormat="false" ht="15" hidden="false" customHeight="false" outlineLevel="0" collapsed="false">
      <c r="A40" s="4" t="s">
        <v>65</v>
      </c>
      <c r="B40" s="14" t="n">
        <v>4.5</v>
      </c>
      <c r="C40" s="6" t="s">
        <v>66</v>
      </c>
      <c r="D40" s="2" t="s">
        <v>67</v>
      </c>
    </row>
    <row r="41" customFormat="false" ht="15" hidden="false" customHeight="false" outlineLevel="0" collapsed="false">
      <c r="A41" s="4" t="s">
        <v>68</v>
      </c>
      <c r="B41" s="15" t="n">
        <f aca="false">B39*B40*730</f>
        <v>9855</v>
      </c>
      <c r="C41" s="6" t="s">
        <v>69</v>
      </c>
      <c r="D41" s="2" t="s">
        <v>70</v>
      </c>
    </row>
    <row r="43" customFormat="false" ht="15" hidden="false" customHeight="false" outlineLevel="0" collapsed="false">
      <c r="A43" s="2" t="s">
        <v>71</v>
      </c>
    </row>
    <row r="44" customFormat="false" ht="15" hidden="false" customHeight="false" outlineLevel="0" collapsed="false">
      <c r="A44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64"/>
  </cols>
  <sheetData>
    <row r="1" customFormat="false" ht="16.1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3" t="s">
        <v>75</v>
      </c>
      <c r="B4" s="3"/>
      <c r="C4" s="3"/>
      <c r="D4" s="3"/>
    </row>
    <row r="5" customFormat="false" ht="15" hidden="false" customHeight="false" outlineLevel="0" collapsed="false">
      <c r="A5" s="4" t="s">
        <v>76</v>
      </c>
      <c r="B5" s="5" t="n">
        <v>2400</v>
      </c>
      <c r="C5" s="6" t="s">
        <v>13</v>
      </c>
      <c r="D5" s="2"/>
    </row>
    <row r="6" customFormat="false" ht="15" hidden="false" customHeight="false" outlineLevel="0" collapsed="false">
      <c r="A6" s="4" t="s">
        <v>77</v>
      </c>
      <c r="B6" s="5" t="n">
        <v>350</v>
      </c>
      <c r="C6" s="6" t="s">
        <v>13</v>
      </c>
      <c r="D6" s="2"/>
    </row>
    <row r="7" customFormat="false" ht="15" hidden="false" customHeight="false" outlineLevel="0" collapsed="false">
      <c r="A7" s="4" t="s">
        <v>78</v>
      </c>
      <c r="B7" s="5" t="n">
        <v>40</v>
      </c>
      <c r="C7" s="6" t="s">
        <v>13</v>
      </c>
      <c r="D7" s="2"/>
    </row>
    <row r="8" customFormat="false" ht="15" hidden="false" customHeight="false" outlineLevel="0" collapsed="false">
      <c r="A8" s="4" t="s">
        <v>79</v>
      </c>
      <c r="B8" s="5" t="n">
        <v>25</v>
      </c>
      <c r="C8" s="6" t="s">
        <v>80</v>
      </c>
      <c r="D8" s="2" t="s">
        <v>81</v>
      </c>
    </row>
    <row r="10" customFormat="false" ht="15" hidden="false" customHeight="false" outlineLevel="0" collapsed="false">
      <c r="A10" s="3" t="s">
        <v>82</v>
      </c>
      <c r="B10" s="3"/>
      <c r="C10" s="3"/>
      <c r="D10" s="3"/>
    </row>
    <row r="11" customFormat="false" ht="15" hidden="false" customHeight="false" outlineLevel="0" collapsed="false">
      <c r="A11" s="4" t="s">
        <v>83</v>
      </c>
      <c r="B11" s="14" t="n">
        <v>3</v>
      </c>
      <c r="C11" s="6" t="s">
        <v>84</v>
      </c>
      <c r="D11" s="2" t="s">
        <v>85</v>
      </c>
    </row>
    <row r="12" customFormat="false" ht="15" hidden="false" customHeight="false" outlineLevel="0" collapsed="false">
      <c r="A12" s="4" t="s">
        <v>86</v>
      </c>
      <c r="B12" s="14" t="n">
        <v>15</v>
      </c>
      <c r="C12" s="6" t="s">
        <v>84</v>
      </c>
      <c r="D12" s="2"/>
    </row>
    <row r="13" customFormat="false" ht="15" hidden="false" customHeight="false" outlineLevel="0" collapsed="false">
      <c r="A13" s="4" t="s">
        <v>87</v>
      </c>
      <c r="B13" s="14" t="n">
        <v>0.13</v>
      </c>
      <c r="C13" s="6" t="s">
        <v>84</v>
      </c>
      <c r="D13" s="2"/>
    </row>
    <row r="14" customFormat="false" ht="15" hidden="false" customHeight="false" outlineLevel="0" collapsed="false">
      <c r="A14" s="4" t="s">
        <v>88</v>
      </c>
      <c r="B14" s="14" t="n">
        <v>2</v>
      </c>
      <c r="C14" s="6" t="s">
        <v>89</v>
      </c>
      <c r="D14" s="2" t="s">
        <v>90</v>
      </c>
    </row>
    <row r="15" customFormat="false" ht="15" hidden="false" customHeight="false" outlineLevel="0" collapsed="false">
      <c r="A15" s="4" t="s">
        <v>91</v>
      </c>
      <c r="B15" s="16" t="n">
        <v>700</v>
      </c>
      <c r="C15" s="6" t="s">
        <v>69</v>
      </c>
      <c r="D15" s="2" t="s">
        <v>92</v>
      </c>
    </row>
    <row r="16" customFormat="false" ht="15" hidden="false" customHeight="false" outlineLevel="0" collapsed="false">
      <c r="A16" s="4" t="s">
        <v>93</v>
      </c>
      <c r="B16" s="5" t="n">
        <v>400000</v>
      </c>
      <c r="C16" s="6" t="s">
        <v>94</v>
      </c>
      <c r="D16" s="2"/>
    </row>
    <row r="18" customFormat="false" ht="15" hidden="false" customHeight="false" outlineLevel="0" collapsed="false">
      <c r="A18" s="3" t="s">
        <v>95</v>
      </c>
      <c r="B18" s="3"/>
      <c r="C18" s="3"/>
      <c r="D18" s="3"/>
    </row>
    <row r="19" customFormat="false" ht="15" hidden="false" customHeight="false" outlineLevel="0" collapsed="false">
      <c r="A19" s="4" t="s">
        <v>96</v>
      </c>
      <c r="B19" s="17" t="n">
        <f aca="false">1000*B5/1000000*B11</f>
        <v>7.2</v>
      </c>
      <c r="C19" s="6" t="s">
        <v>69</v>
      </c>
      <c r="D19" s="2"/>
    </row>
    <row r="20" customFormat="false" ht="15" hidden="false" customHeight="false" outlineLevel="0" collapsed="false">
      <c r="A20" s="4" t="s">
        <v>97</v>
      </c>
      <c r="B20" s="17" t="n">
        <f aca="false">1000*B6/1000000*B12</f>
        <v>5.25</v>
      </c>
      <c r="C20" s="6" t="s">
        <v>69</v>
      </c>
      <c r="D20" s="2"/>
    </row>
    <row r="21" customFormat="false" ht="15" hidden="false" customHeight="false" outlineLevel="0" collapsed="false">
      <c r="A21" s="4" t="s">
        <v>98</v>
      </c>
      <c r="B21" s="17" t="n">
        <f aca="false">1000*B7/1000000*B13</f>
        <v>0.0052</v>
      </c>
      <c r="C21" s="6" t="s">
        <v>69</v>
      </c>
      <c r="D21" s="2"/>
    </row>
    <row r="22" customFormat="false" ht="15" hidden="false" customHeight="false" outlineLevel="0" collapsed="false">
      <c r="A22" s="4" t="s">
        <v>99</v>
      </c>
      <c r="B22" s="17" t="n">
        <f aca="false">B14</f>
        <v>2</v>
      </c>
      <c r="C22" s="6" t="s">
        <v>69</v>
      </c>
      <c r="D22" s="2" t="s">
        <v>100</v>
      </c>
    </row>
    <row r="23" customFormat="false" ht="15" hidden="false" customHeight="false" outlineLevel="0" collapsed="false">
      <c r="A23" s="4" t="s">
        <v>101</v>
      </c>
      <c r="B23" s="17" t="n">
        <f aca="false">IF(B16=0,0,B15/B16*1000)</f>
        <v>1.75</v>
      </c>
      <c r="C23" s="6" t="s">
        <v>69</v>
      </c>
      <c r="D23" s="2"/>
    </row>
    <row r="24" customFormat="false" ht="15" hidden="false" customHeight="false" outlineLevel="0" collapsed="false">
      <c r="A24" s="4" t="s">
        <v>102</v>
      </c>
      <c r="B24" s="17" t="n">
        <f aca="false">B19+B20+B21+B22+B23</f>
        <v>16.2052</v>
      </c>
      <c r="C24" s="6" t="s">
        <v>89</v>
      </c>
      <c r="D24" s="2"/>
    </row>
    <row r="26" customFormat="false" ht="15" hidden="false" customHeight="false" outlineLevel="0" collapsed="false">
      <c r="A26" s="3" t="s">
        <v>103</v>
      </c>
      <c r="B26" s="3"/>
      <c r="C26" s="3"/>
      <c r="D26" s="3"/>
    </row>
    <row r="27" customFormat="false" ht="15" hidden="false" customHeight="false" outlineLevel="0" collapsed="false">
      <c r="A27" s="4" t="s">
        <v>104</v>
      </c>
      <c r="B27" s="9" t="n">
        <v>0.45</v>
      </c>
      <c r="C27" s="6"/>
      <c r="D27" s="2" t="s">
        <v>105</v>
      </c>
    </row>
    <row r="28" customFormat="false" ht="15" hidden="false" customHeight="false" outlineLevel="0" collapsed="false">
      <c r="A28" s="4" t="s">
        <v>106</v>
      </c>
      <c r="B28" s="9" t="n">
        <v>0.9</v>
      </c>
      <c r="C28" s="6"/>
      <c r="D28" s="2" t="s">
        <v>107</v>
      </c>
    </row>
    <row r="29" customFormat="false" ht="15" hidden="false" customHeight="false" outlineLevel="0" collapsed="false">
      <c r="A29" s="4" t="s">
        <v>108</v>
      </c>
      <c r="B29" s="9" t="n">
        <v>0.15</v>
      </c>
      <c r="C29" s="6"/>
      <c r="D29" s="2" t="s">
        <v>109</v>
      </c>
    </row>
    <row r="30" customFormat="false" ht="15" hidden="false" customHeight="false" outlineLevel="0" collapsed="false">
      <c r="A30" s="4" t="s">
        <v>110</v>
      </c>
      <c r="B30" s="17" t="n">
        <f aca="false">(B19*(1-B27*B28)+B20+B21+B22+B23)*(1-B29)</f>
        <v>11.29582</v>
      </c>
      <c r="C30" s="6" t="s">
        <v>89</v>
      </c>
      <c r="D30" s="2"/>
    </row>
    <row r="31" customFormat="false" ht="15" hidden="false" customHeight="false" outlineLevel="0" collapsed="false">
      <c r="A31" s="4" t="s">
        <v>111</v>
      </c>
      <c r="B31" s="18" t="n">
        <f aca="false">B30/1000</f>
        <v>0.01129582</v>
      </c>
      <c r="C31" s="6" t="s">
        <v>69</v>
      </c>
      <c r="D31" s="2"/>
    </row>
    <row r="32" customFormat="false" ht="15" hidden="false" customHeight="false" outlineLevel="0" collapsed="false">
      <c r="A32" s="4" t="s">
        <v>112</v>
      </c>
      <c r="B32" s="15" t="n">
        <f aca="false">B30*B16/1000</f>
        <v>4518.328</v>
      </c>
      <c r="C32" s="6" t="s">
        <v>69</v>
      </c>
      <c r="D32" s="2"/>
    </row>
    <row r="33" customFormat="false" ht="15" hidden="false" customHeight="false" outlineLevel="0" collapsed="false">
      <c r="A33" s="4" t="s">
        <v>113</v>
      </c>
      <c r="B33" s="19" t="n">
        <f aca="false">(B24-B30)/B24</f>
        <v>0.302950904647891</v>
      </c>
      <c r="C33" s="6"/>
      <c r="D33" s="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64"/>
  </cols>
  <sheetData>
    <row r="1" customFormat="false" ht="16.1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A4" s="3" t="s">
        <v>117</v>
      </c>
      <c r="B4" s="3"/>
      <c r="C4" s="3"/>
      <c r="D4" s="3"/>
    </row>
    <row r="5" customFormat="false" ht="15" hidden="false" customHeight="false" outlineLevel="0" collapsed="false">
      <c r="A5" s="4" t="s">
        <v>118</v>
      </c>
      <c r="B5" s="20" t="n">
        <v>40</v>
      </c>
      <c r="C5" s="6" t="s">
        <v>119</v>
      </c>
      <c r="D5" s="2"/>
    </row>
    <row r="6" customFormat="false" ht="15" hidden="false" customHeight="false" outlineLevel="0" collapsed="false">
      <c r="A6" s="4" t="s">
        <v>120</v>
      </c>
      <c r="B6" s="20" t="n">
        <v>180</v>
      </c>
      <c r="C6" s="6" t="s">
        <v>119</v>
      </c>
      <c r="D6" s="2" t="s">
        <v>121</v>
      </c>
    </row>
    <row r="7" customFormat="false" ht="15" hidden="false" customHeight="false" outlineLevel="0" collapsed="false">
      <c r="A7" s="4" t="s">
        <v>122</v>
      </c>
      <c r="B7" s="20" t="n">
        <v>90</v>
      </c>
      <c r="C7" s="6" t="s">
        <v>119</v>
      </c>
      <c r="D7" s="2" t="s">
        <v>123</v>
      </c>
    </row>
    <row r="8" customFormat="false" ht="15" hidden="false" customHeight="false" outlineLevel="0" collapsed="false">
      <c r="A8" s="4" t="s">
        <v>124</v>
      </c>
      <c r="B8" s="20" t="n">
        <v>110</v>
      </c>
      <c r="C8" s="6" t="s">
        <v>119</v>
      </c>
      <c r="D8" s="2" t="s">
        <v>125</v>
      </c>
    </row>
    <row r="9" customFormat="false" ht="15" hidden="false" customHeight="false" outlineLevel="0" collapsed="false">
      <c r="A9" s="4" t="s">
        <v>126</v>
      </c>
      <c r="B9" s="20" t="n">
        <v>220</v>
      </c>
      <c r="C9" s="6" t="s">
        <v>119</v>
      </c>
      <c r="D9" s="2" t="s">
        <v>127</v>
      </c>
    </row>
    <row r="10" customFormat="false" ht="15" hidden="false" customHeight="false" outlineLevel="0" collapsed="false">
      <c r="A10" s="4" t="s">
        <v>128</v>
      </c>
      <c r="B10" s="20" t="n">
        <v>90</v>
      </c>
      <c r="C10" s="6" t="s">
        <v>119</v>
      </c>
      <c r="D10" s="2" t="s">
        <v>129</v>
      </c>
    </row>
    <row r="11" customFormat="false" ht="15" hidden="false" customHeight="false" outlineLevel="0" collapsed="false">
      <c r="A11" s="4" t="s">
        <v>130</v>
      </c>
      <c r="B11" s="20" t="n">
        <v>40</v>
      </c>
      <c r="C11" s="6" t="s">
        <v>119</v>
      </c>
      <c r="D11" s="2"/>
    </row>
    <row r="12" customFormat="false" ht="15" hidden="false" customHeight="false" outlineLevel="0" collapsed="false">
      <c r="A12" s="4" t="s">
        <v>131</v>
      </c>
      <c r="B12" s="20" t="n">
        <v>30</v>
      </c>
      <c r="C12" s="6" t="s">
        <v>119</v>
      </c>
      <c r="D12" s="2"/>
    </row>
    <row r="13" customFormat="false" ht="15" hidden="false" customHeight="false" outlineLevel="0" collapsed="false">
      <c r="A13" s="4" t="s">
        <v>132</v>
      </c>
      <c r="B13" s="8" t="n">
        <f aca="false">B5+B6+B7+B8+B9+B10+B11+B12</f>
        <v>800</v>
      </c>
      <c r="C13" s="6" t="s">
        <v>119</v>
      </c>
      <c r="D13" s="2"/>
    </row>
    <row r="14" customFormat="false" ht="15" hidden="false" customHeight="false" outlineLevel="0" collapsed="false">
      <c r="A14" s="4" t="s">
        <v>133</v>
      </c>
      <c r="B14" s="5" t="n">
        <v>800</v>
      </c>
      <c r="C14" s="6" t="s">
        <v>119</v>
      </c>
      <c r="D14" s="2" t="s">
        <v>134</v>
      </c>
    </row>
    <row r="15" customFormat="false" ht="15" hidden="false" customHeight="false" outlineLevel="0" collapsed="false">
      <c r="A15" s="4" t="s">
        <v>135</v>
      </c>
      <c r="B15" s="8" t="n">
        <f aca="false">B14-B13</f>
        <v>0</v>
      </c>
      <c r="C15" s="6" t="s">
        <v>119</v>
      </c>
      <c r="D15" s="2" t="s">
        <v>136</v>
      </c>
    </row>
    <row r="16" customFormat="false" ht="15" hidden="false" customHeight="false" outlineLevel="0" collapsed="false">
      <c r="A16" s="4" t="s">
        <v>137</v>
      </c>
      <c r="B16" s="13" t="str">
        <f aca="false">IF(B15&gt;=0,"Within budget","OVER BUDGET — redesign")</f>
        <v>Within budget</v>
      </c>
      <c r="C16" s="6"/>
      <c r="D16" s="2"/>
    </row>
    <row r="18" customFormat="false" ht="15" hidden="false" customHeight="false" outlineLevel="0" collapsed="false">
      <c r="A18" s="21" t="s">
        <v>138</v>
      </c>
    </row>
    <row r="19" customFormat="false" ht="15" hidden="false" customHeight="false" outlineLevel="0" collapsed="false">
      <c r="A19" s="2" t="s">
        <v>139</v>
      </c>
    </row>
    <row r="20" customFormat="false" ht="15" hidden="false" customHeight="false" outlineLevel="0" collapsed="false">
      <c r="A20" s="2" t="s">
        <v>140</v>
      </c>
    </row>
    <row r="21" customFormat="false" ht="15" hidden="false" customHeight="false" outlineLevel="0" collapsed="false">
      <c r="A21" s="2" t="s">
        <v>141</v>
      </c>
    </row>
    <row r="22" customFormat="false" ht="15" hidden="false" customHeight="false" outlineLevel="0" collapsed="false">
      <c r="A22" s="2" t="s">
        <v>142</v>
      </c>
    </row>
    <row r="23" customFormat="false" ht="15" hidden="false" customHeight="false" outlineLevel="0" collapsed="false">
      <c r="A23" s="2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64"/>
  </cols>
  <sheetData>
    <row r="1" customFormat="false" ht="16.1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2" t="s">
        <v>145</v>
      </c>
    </row>
    <row r="4" customFormat="false" ht="15" hidden="false" customHeight="false" outlineLevel="0" collapsed="false">
      <c r="A4" s="3" t="s">
        <v>146</v>
      </c>
      <c r="B4" s="3"/>
      <c r="C4" s="3"/>
      <c r="D4" s="3"/>
    </row>
    <row r="5" customFormat="false" ht="15" hidden="false" customHeight="false" outlineLevel="0" collapsed="false">
      <c r="A5" s="4" t="s">
        <v>147</v>
      </c>
      <c r="B5" s="14" t="n">
        <v>6</v>
      </c>
      <c r="C5" s="6" t="s">
        <v>84</v>
      </c>
      <c r="D5" s="2" t="s">
        <v>148</v>
      </c>
    </row>
    <row r="6" customFormat="false" ht="15" hidden="false" customHeight="false" outlineLevel="0" collapsed="false">
      <c r="A6" s="4" t="s">
        <v>149</v>
      </c>
      <c r="B6" s="5" t="n">
        <v>400</v>
      </c>
      <c r="C6" s="6" t="s">
        <v>150</v>
      </c>
      <c r="D6" s="2"/>
    </row>
    <row r="7" customFormat="false" ht="15" hidden="false" customHeight="false" outlineLevel="0" collapsed="false">
      <c r="A7" s="4" t="s">
        <v>151</v>
      </c>
      <c r="B7" s="15" t="n">
        <f aca="false">B5*B6</f>
        <v>2400</v>
      </c>
      <c r="C7" s="6" t="s">
        <v>69</v>
      </c>
      <c r="D7" s="2"/>
    </row>
    <row r="9" customFormat="false" ht="15" hidden="false" customHeight="false" outlineLevel="0" collapsed="false">
      <c r="A9" s="3" t="s">
        <v>152</v>
      </c>
      <c r="B9" s="3"/>
      <c r="C9" s="3"/>
      <c r="D9" s="3"/>
    </row>
    <row r="10" customFormat="false" ht="15" hidden="false" customHeight="false" outlineLevel="0" collapsed="false">
      <c r="A10" s="4" t="s">
        <v>153</v>
      </c>
      <c r="B10" s="11" t="n">
        <v>4</v>
      </c>
      <c r="C10" s="6" t="s">
        <v>27</v>
      </c>
      <c r="D10" s="2" t="s">
        <v>154</v>
      </c>
    </row>
    <row r="11" customFormat="false" ht="15" hidden="false" customHeight="false" outlineLevel="0" collapsed="false">
      <c r="A11" s="4" t="s">
        <v>155</v>
      </c>
      <c r="B11" s="14" t="n">
        <v>2.8</v>
      </c>
      <c r="C11" s="6" t="s">
        <v>66</v>
      </c>
      <c r="D11" s="2" t="s">
        <v>156</v>
      </c>
    </row>
    <row r="12" customFormat="false" ht="15" hidden="false" customHeight="false" outlineLevel="0" collapsed="false">
      <c r="A12" s="4" t="s">
        <v>68</v>
      </c>
      <c r="B12" s="15" t="n">
        <f aca="false">B10*B11*730</f>
        <v>8176</v>
      </c>
      <c r="C12" s="6" t="s">
        <v>69</v>
      </c>
      <c r="D12" s="2"/>
    </row>
    <row r="13" customFormat="false" ht="15" hidden="false" customHeight="false" outlineLevel="0" collapsed="false">
      <c r="A13" s="4" t="s">
        <v>157</v>
      </c>
      <c r="B13" s="22" t="n">
        <v>0.4</v>
      </c>
      <c r="C13" s="6" t="s">
        <v>158</v>
      </c>
      <c r="D13" s="2" t="s">
        <v>159</v>
      </c>
    </row>
    <row r="14" customFormat="false" ht="15" hidden="false" customHeight="false" outlineLevel="0" collapsed="false">
      <c r="A14" s="4" t="s">
        <v>160</v>
      </c>
      <c r="B14" s="16" t="n">
        <v>260000</v>
      </c>
      <c r="C14" s="6" t="s">
        <v>69</v>
      </c>
      <c r="D14" s="2"/>
    </row>
    <row r="15" customFormat="false" ht="15" hidden="false" customHeight="false" outlineLevel="0" collapsed="false">
      <c r="A15" s="4" t="s">
        <v>161</v>
      </c>
      <c r="B15" s="15" t="n">
        <f aca="false">B13*B14/12</f>
        <v>8666.66666666667</v>
      </c>
      <c r="C15" s="6" t="s">
        <v>69</v>
      </c>
      <c r="D15" s="2"/>
    </row>
    <row r="16" customFormat="false" ht="15" hidden="false" customHeight="false" outlineLevel="0" collapsed="false">
      <c r="A16" s="4" t="s">
        <v>162</v>
      </c>
      <c r="B16" s="15" t="n">
        <f aca="false">B12+B15</f>
        <v>16842.6666666667</v>
      </c>
      <c r="C16" s="6" t="s">
        <v>69</v>
      </c>
      <c r="D16" s="2"/>
    </row>
    <row r="18" customFormat="false" ht="15" hidden="false" customHeight="false" outlineLevel="0" collapsed="false">
      <c r="A18" s="3" t="s">
        <v>163</v>
      </c>
      <c r="B18" s="3"/>
      <c r="C18" s="3"/>
      <c r="D18" s="3"/>
    </row>
    <row r="19" customFormat="false" ht="15" hidden="false" customHeight="false" outlineLevel="0" collapsed="false">
      <c r="A19" s="4" t="s">
        <v>164</v>
      </c>
      <c r="B19" s="15" t="n">
        <f aca="false">B7-B16</f>
        <v>-14442.6666666667</v>
      </c>
      <c r="C19" s="6" t="s">
        <v>69</v>
      </c>
      <c r="D19" s="2" t="s">
        <v>165</v>
      </c>
    </row>
    <row r="20" customFormat="false" ht="15" hidden="false" customHeight="false" outlineLevel="0" collapsed="false">
      <c r="A20" s="4" t="s">
        <v>166</v>
      </c>
      <c r="B20" s="8" t="n">
        <f aca="false">IF(B5=0,0,B16/B5)</f>
        <v>2807.11111111111</v>
      </c>
      <c r="C20" s="6" t="s">
        <v>150</v>
      </c>
      <c r="D20" s="2" t="s">
        <v>167</v>
      </c>
    </row>
    <row r="21" customFormat="false" ht="15" hidden="false" customHeight="false" outlineLevel="0" collapsed="false">
      <c r="A21" s="4" t="s">
        <v>168</v>
      </c>
      <c r="B21" s="13" t="str">
        <f aca="false">IF(B19&gt;0,"Self-host wins","API wins")</f>
        <v>API wins</v>
      </c>
      <c r="C21" s="6"/>
      <c r="D21" s="2"/>
    </row>
    <row r="23" customFormat="false" ht="15" hidden="false" customHeight="false" outlineLevel="0" collapsed="false">
      <c r="A23" s="2" t="s">
        <v>169</v>
      </c>
    </row>
    <row r="24" customFormat="false" ht="15" hidden="false" customHeight="false" outlineLevel="0" collapsed="false">
      <c r="A24" s="2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64"/>
  </cols>
  <sheetData>
    <row r="1" customFormat="false" ht="16.1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4" customFormat="false" ht="15" hidden="false" customHeight="false" outlineLevel="0" collapsed="false">
      <c r="A4" s="3" t="s">
        <v>173</v>
      </c>
      <c r="B4" s="3"/>
      <c r="C4" s="3"/>
      <c r="D4" s="3"/>
    </row>
    <row r="5" customFormat="false" ht="15" hidden="false" customHeight="false" outlineLevel="0" collapsed="false">
      <c r="A5" s="4" t="s">
        <v>174</v>
      </c>
      <c r="B5" s="5" t="n">
        <v>900</v>
      </c>
      <c r="C5" s="6" t="s">
        <v>175</v>
      </c>
      <c r="D5" s="2"/>
    </row>
    <row r="6" customFormat="false" ht="15" hidden="false" customHeight="false" outlineLevel="0" collapsed="false">
      <c r="A6" s="4" t="s">
        <v>176</v>
      </c>
      <c r="B6" s="5" t="n">
        <v>14</v>
      </c>
      <c r="C6" s="6"/>
      <c r="D6" s="2"/>
    </row>
    <row r="7" customFormat="false" ht="15" hidden="false" customHeight="false" outlineLevel="0" collapsed="false">
      <c r="A7" s="4" t="s">
        <v>177</v>
      </c>
      <c r="B7" s="22" t="n">
        <v>9</v>
      </c>
      <c r="C7" s="6" t="s">
        <v>178</v>
      </c>
      <c r="D7" s="2" t="s">
        <v>179</v>
      </c>
    </row>
    <row r="8" customFormat="false" ht="15" hidden="false" customHeight="false" outlineLevel="0" collapsed="false">
      <c r="A8" s="4" t="s">
        <v>180</v>
      </c>
      <c r="B8" s="16" t="n">
        <v>68</v>
      </c>
      <c r="C8" s="6" t="s">
        <v>69</v>
      </c>
      <c r="D8" s="2"/>
    </row>
    <row r="9" customFormat="false" ht="15" hidden="false" customHeight="false" outlineLevel="0" collapsed="false">
      <c r="A9" s="4" t="s">
        <v>181</v>
      </c>
      <c r="B9" s="11" t="n">
        <v>21</v>
      </c>
      <c r="C9" s="6" t="s">
        <v>182</v>
      </c>
      <c r="D9" s="2"/>
    </row>
    <row r="11" customFormat="false" ht="15" hidden="false" customHeight="false" outlineLevel="0" collapsed="false">
      <c r="A11" s="3" t="s">
        <v>183</v>
      </c>
      <c r="B11" s="3"/>
      <c r="C11" s="3"/>
      <c r="D11" s="3"/>
    </row>
    <row r="12" customFormat="false" ht="15" hidden="false" customHeight="false" outlineLevel="0" collapsed="false">
      <c r="A12" s="4" t="s">
        <v>184</v>
      </c>
      <c r="B12" s="22" t="n">
        <v>6.2</v>
      </c>
      <c r="C12" s="6" t="s">
        <v>178</v>
      </c>
      <c r="D12" s="2" t="s">
        <v>185</v>
      </c>
    </row>
    <row r="13" customFormat="false" ht="15" hidden="false" customHeight="false" outlineLevel="0" collapsed="false">
      <c r="A13" s="4" t="s">
        <v>186</v>
      </c>
      <c r="B13" s="9" t="n">
        <v>0.55</v>
      </c>
      <c r="C13" s="6"/>
      <c r="D13" s="2" t="s">
        <v>187</v>
      </c>
    </row>
    <row r="15" customFormat="false" ht="15" hidden="false" customHeight="false" outlineLevel="0" collapsed="false">
      <c r="A15" s="3" t="s">
        <v>61</v>
      </c>
      <c r="B15" s="3"/>
      <c r="C15" s="3"/>
      <c r="D15" s="3"/>
    </row>
    <row r="16" customFormat="false" ht="15" hidden="false" customHeight="false" outlineLevel="0" collapsed="false">
      <c r="A16" s="4" t="s">
        <v>188</v>
      </c>
      <c r="B16" s="12" t="n">
        <f aca="false">B7-B12</f>
        <v>2.8</v>
      </c>
      <c r="C16" s="6" t="s">
        <v>178</v>
      </c>
      <c r="D16" s="2"/>
    </row>
    <row r="17" customFormat="false" ht="15" hidden="false" customHeight="false" outlineLevel="0" collapsed="false">
      <c r="A17" s="4" t="s">
        <v>189</v>
      </c>
      <c r="B17" s="8" t="n">
        <f aca="false">B5*B6*B9*B16*B13/60</f>
        <v>6791.4</v>
      </c>
      <c r="C17" s="6" t="s">
        <v>190</v>
      </c>
      <c r="D17" s="2"/>
    </row>
    <row r="18" customFormat="false" ht="15" hidden="false" customHeight="false" outlineLevel="0" collapsed="false">
      <c r="A18" s="4" t="s">
        <v>191</v>
      </c>
      <c r="B18" s="15" t="n">
        <f aca="false">B17*B8</f>
        <v>461815.2</v>
      </c>
      <c r="C18" s="6" t="s">
        <v>69</v>
      </c>
      <c r="D18" s="2" t="s">
        <v>192</v>
      </c>
    </row>
    <row r="19" customFormat="false" ht="15" hidden="false" customHeight="false" outlineLevel="0" collapsed="false">
      <c r="A19" s="4" t="s">
        <v>193</v>
      </c>
      <c r="B19" s="9" t="n">
        <v>0.3</v>
      </c>
      <c r="C19" s="6"/>
      <c r="D19" s="2" t="s">
        <v>194</v>
      </c>
    </row>
    <row r="20" customFormat="false" ht="15" hidden="false" customHeight="false" outlineLevel="0" collapsed="false">
      <c r="A20" s="4" t="s">
        <v>195</v>
      </c>
      <c r="B20" s="15" t="n">
        <f aca="false">B18*B19</f>
        <v>138544.56</v>
      </c>
      <c r="C20" s="6" t="s">
        <v>69</v>
      </c>
      <c r="D20" s="2" t="s">
        <v>196</v>
      </c>
    </row>
    <row r="21" customFormat="false" ht="15" hidden="false" customHeight="false" outlineLevel="0" collapsed="false">
      <c r="A21" s="4" t="s">
        <v>197</v>
      </c>
      <c r="B21" s="16" t="n">
        <v>3800</v>
      </c>
      <c r="C21" s="6" t="s">
        <v>69</v>
      </c>
      <c r="D21" s="2" t="s">
        <v>198</v>
      </c>
    </row>
    <row r="22" customFormat="false" ht="15" hidden="false" customHeight="false" outlineLevel="0" collapsed="false">
      <c r="A22" s="4" t="s">
        <v>199</v>
      </c>
      <c r="B22" s="15" t="n">
        <f aca="false">B20-B21</f>
        <v>134744.56</v>
      </c>
      <c r="C22" s="6" t="s">
        <v>69</v>
      </c>
      <c r="D22" s="2"/>
    </row>
    <row r="23" customFormat="false" ht="15" hidden="false" customHeight="false" outlineLevel="0" collapsed="false">
      <c r="A23" s="4" t="s">
        <v>200</v>
      </c>
      <c r="B23" s="16" t="n">
        <v>400000</v>
      </c>
      <c r="C23" s="6" t="s">
        <v>69</v>
      </c>
      <c r="D23" s="2"/>
    </row>
    <row r="24" customFormat="false" ht="15" hidden="false" customHeight="false" outlineLevel="0" collapsed="false">
      <c r="A24" s="4" t="s">
        <v>201</v>
      </c>
      <c r="B24" s="12" t="n">
        <f aca="false">IF(B22&lt;=0,"never",B23/B22)</f>
        <v>2.96857995602939</v>
      </c>
      <c r="C24" s="6" t="s">
        <v>202</v>
      </c>
      <c r="D24" s="2"/>
    </row>
    <row r="26" customFormat="false" ht="15" hidden="false" customHeight="false" outlineLevel="0" collapsed="false">
      <c r="A26" s="2" t="s">
        <v>203</v>
      </c>
    </row>
    <row r="27" customFormat="false" ht="15" hidden="false" customHeight="false" outlineLevel="0" collapsed="false">
      <c r="A27" s="2" t="s">
        <v>204</v>
      </c>
    </row>
    <row r="28" customFormat="false" ht="15" hidden="false" customHeight="false" outlineLevel="0" collapsed="false">
      <c r="A28" s="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2026-07-20T23:03:08Z</dcterms:created>
  <dc:creator>openpyxl</dc:creator>
  <dc:description/>
  <dc:language>en-US</dc:language>
  <cp:lastModifiedBy/>
  <dcterms:modified xsi:type="dcterms:W3CDTF">2026-07-20T23:03:08Z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